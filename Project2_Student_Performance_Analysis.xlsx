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nalysis" sheetId="1" state="visible" r:id="rId3"/>
    <sheet name="Student Data" sheetId="2" state="visible" r:id="rId4"/>
  </sheets>
  <definedNames>
    <definedName function="false" hidden="true" localSheetId="1" name="_xlnm._FilterDatabase" vbProcedure="false">'Student Data'!$A$1:$L$31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<sst xmlns="http://schemas.openxmlformats.org/spreadsheetml/2006/main" count="73" uniqueCount="67">
  <si>
    <t xml:space="preserve">Student Performance Analysis</t>
  </si>
  <si>
    <t xml:space="preserve">CLASS SUMMARY</t>
  </si>
  <si>
    <t xml:space="preserve">Total Students</t>
  </si>
  <si>
    <t xml:space="preserve">Passed</t>
  </si>
  <si>
    <t xml:space="preserve">Failed</t>
  </si>
  <si>
    <t xml:space="preserve">Pass Percentage</t>
  </si>
  <si>
    <t xml:space="preserve">Class Average %</t>
  </si>
  <si>
    <t xml:space="preserve">Highest Total</t>
  </si>
  <si>
    <t xml:space="preserve">Topper</t>
  </si>
  <si>
    <t xml:space="preserve">SUBJECT-WISE ANALYSIS</t>
  </si>
  <si>
    <t xml:space="preserve">Subject</t>
  </si>
  <si>
    <t xml:space="preserve">Average</t>
  </si>
  <si>
    <t xml:space="preserve">Highest</t>
  </si>
  <si>
    <t xml:space="preserve">Lowest</t>
  </si>
  <si>
    <t xml:space="preserve">Students Below 35</t>
  </si>
  <si>
    <t xml:space="preserve">Mathematics</t>
  </si>
  <si>
    <t xml:space="preserve">Computer Science</t>
  </si>
  <si>
    <t xml:space="preserve">English</t>
  </si>
  <si>
    <t xml:space="preserve">Database (SQL)</t>
  </si>
  <si>
    <t xml:space="preserve">Programming (C++)</t>
  </si>
  <si>
    <t xml:space="preserve">GRADE DISTRIBUTION</t>
  </si>
  <si>
    <t xml:space="preserve">Grade</t>
  </si>
  <si>
    <t xml:space="preserve">Students</t>
  </si>
  <si>
    <t xml:space="preserve">% of Class</t>
  </si>
  <si>
    <t xml:space="preserve">A</t>
  </si>
  <si>
    <t xml:space="preserve">B</t>
  </si>
  <si>
    <t xml:space="preserve">C</t>
  </si>
  <si>
    <t xml:space="preserve">D</t>
  </si>
  <si>
    <t xml:space="preserve">F</t>
  </si>
  <si>
    <t xml:space="preserve">Grade rule: A &gt;= 75%, B &gt;= 60%, C &gt;= 45%, D &gt;= 35%, else F. Edit the Student Data marks and everything updates.</t>
  </si>
  <si>
    <t xml:space="preserve">Roll No</t>
  </si>
  <si>
    <t xml:space="preserve">Student Name</t>
  </si>
  <si>
    <t xml:space="preserve">Total (out of 500)</t>
  </si>
  <si>
    <t xml:space="preserve">Percentage</t>
  </si>
  <si>
    <t xml:space="preserve">Result</t>
  </si>
  <si>
    <t xml:space="preserve">Rank</t>
  </si>
  <si>
    <t xml:space="preserve">Note: sample practice marks created for this project (not real student data). Pass rule: at least 35 in every subject.</t>
  </si>
  <si>
    <t xml:space="preserve">Aarav</t>
  </si>
  <si>
    <t xml:space="preserve">Riya</t>
  </si>
  <si>
    <t xml:space="preserve">Rohan</t>
  </si>
  <si>
    <t xml:space="preserve">Sneha</t>
  </si>
  <si>
    <t xml:space="preserve">Aditya</t>
  </si>
  <si>
    <t xml:space="preserve">Pooja</t>
  </si>
  <si>
    <t xml:space="preserve">Kunal</t>
  </si>
  <si>
    <t xml:space="preserve">Neha</t>
  </si>
  <si>
    <t xml:space="preserve">Vikas</t>
  </si>
  <si>
    <t xml:space="preserve">Anjali</t>
  </si>
  <si>
    <t xml:space="preserve">Rahul</t>
  </si>
  <si>
    <t xml:space="preserve">Priya</t>
  </si>
  <si>
    <t xml:space="preserve">Amit</t>
  </si>
  <si>
    <t xml:space="preserve">Komal</t>
  </si>
  <si>
    <t xml:space="preserve">Sagar</t>
  </si>
  <si>
    <t xml:space="preserve">Tanvi</t>
  </si>
  <si>
    <t xml:space="preserve">Nikhil</t>
  </si>
  <si>
    <t xml:space="preserve">Isha</t>
  </si>
  <si>
    <t xml:space="preserve">Yash</t>
  </si>
  <si>
    <t xml:space="preserve">Mansi</t>
  </si>
  <si>
    <t xml:space="preserve">Gaurav</t>
  </si>
  <si>
    <t xml:space="preserve">Shruti</t>
  </si>
  <si>
    <t xml:space="preserve">Omkar</t>
  </si>
  <si>
    <t xml:space="preserve">Pallavi</t>
  </si>
  <si>
    <t xml:space="preserve">Harsh</t>
  </si>
  <si>
    <t xml:space="preserve">Divya</t>
  </si>
  <si>
    <t xml:space="preserve">Sahil</t>
  </si>
  <si>
    <t xml:space="preserve">Kajal</t>
  </si>
  <si>
    <t xml:space="preserve">Tushar</t>
  </si>
  <si>
    <t xml:space="preserve">Rutuja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</si>
</sst>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"/>
    <numFmt numFmtId="166" formatCode="0.0%"/>
    <numFmt numFmtId="167" formatCode="@"/>
    <numFmt numFmtId="168" formatCode="0.0"/>
    <numFmt numFmtId="169" formatCode="0.0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i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00803C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>
          <bgColor rgb="FFF8CBAD"/>
        </patternFill>
      </fill>
    </dxf>
    <dxf>
      <font>
        <name val="Arial"/>
        <charset val="1"/>
        <family val="0"/>
        <b val="1"/>
        <color rgb="FFC00000"/>
      </font>
    </dxf>
    <dxf>
      <font>
        <name val="Arial"/>
        <charset val="1"/>
        <family val="0"/>
        <b val="1"/>
        <color rgb="FF00803C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3C"/>
      <rgbColor rgb="FF000080"/>
      <rgbColor rgb="FF808000"/>
      <rgbColor rgb="FF800080"/>
      <rgbColor rgb="FF008080"/>
      <rgbColor rgb="FFBBBBBB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Average Marks by Subject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Analysis!B14</c:f>
              <c:strCache>
                <c:ptCount val="1"/>
                <c:pt idx="0">
                  <c:v>Average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Analysis!$A$15:$A$19</c:f>
              <c:strCache>
                <c:ptCount val="5"/>
                <c:pt idx="0">
                  <c:v>Mathematics</c:v>
                </c:pt>
                <c:pt idx="1">
                  <c:v>Computer Science</c:v>
                </c:pt>
                <c:pt idx="2">
                  <c:v>English</c:v>
                </c:pt>
                <c:pt idx="3">
                  <c:v>Database (SQL)</c:v>
                </c:pt>
                <c:pt idx="4">
                  <c:v>Programming (C++)</c:v>
                </c:pt>
              </c:strCache>
            </c:strRef>
          </c:cat>
          <c:val>
            <c:numRef>
              <c:f>Analysis!$B$15:$B$19</c:f>
              <c:numCache>
                <c:formatCode>0.0</c:formatCode>
                <c:ptCount val="5"/>
                <c:pt idx="0">
                  <c:v>68.5333333333333</c:v>
                </c:pt>
                <c:pt idx="1">
                  <c:v>65.8333333333333</c:v>
                </c:pt>
                <c:pt idx="2">
                  <c:v>64.5</c:v>
                </c:pt>
                <c:pt idx="3">
                  <c:v>67.8333333333333</c:v>
                </c:pt>
                <c:pt idx="4">
                  <c:v>69.7666666666667</c:v>
                </c:pt>
              </c:numCache>
            </c:numRef>
          </c:val>
        </c:ser>
        <c:gapWidth val="150"/>
        <c:overlap val="0"/>
        <c:axId val="99712360"/>
        <c:axId val="25995711"/>
      </c:barChart>
      <c:catAx>
        <c:axId val="99712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5995711"/>
        <c:crosses val="autoZero"/>
        <c:auto val="1"/>
        <c:lblAlgn val="ctr"/>
        <c:lblOffset val="100"/>
        <c:noMultiLvlLbl val="0"/>
      </c:catAx>
      <c:valAx>
        <c:axId val="2599571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971236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Grade Distribution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Analysis!B23</c:f>
              <c:strCache>
                <c:ptCount val="1"/>
                <c:pt idx="0">
                  <c:v>Students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Analysis!$A$24:$A$28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F</c:v>
                </c:pt>
              </c:strCache>
            </c:strRef>
          </c:cat>
          <c:val>
            <c:numRef>
              <c:f>Analysis!$B$24:$B$28</c:f>
              <c:numCache>
                <c:formatCode>General</c:formatCode>
                <c:ptCount val="5"/>
                <c:pt idx="0">
                  <c:v>4</c:v>
                </c:pt>
                <c:pt idx="1">
                  <c:v>22</c:v>
                </c:pt>
                <c:pt idx="2">
                  <c:v>4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gapWidth val="150"/>
        <c:overlap val="0"/>
        <c:axId val="19507892"/>
        <c:axId val="75998732"/>
      </c:barChart>
      <c:catAx>
        <c:axId val="195078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5998732"/>
        <c:crosses val="autoZero"/>
        <c:auto val="1"/>
        <c:lblAlgn val="ctr"/>
        <c:lblOffset val="100"/>
        <c:noMultiLvlLbl val="0"/>
      </c:catAx>
      <c:valAx>
        <c:axId val="7599873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950789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1</xdr:row>
      <xdr:rowOff>160560</xdr:rowOff>
    </xdr:from>
    <xdr:to>
      <xdr:col>14</xdr:col>
      <xdr:colOff>147600</xdr:colOff>
      <xdr:row>16</xdr:row>
      <xdr:rowOff>2520</xdr:rowOff>
    </xdr:to>
    <xdr:graphicFrame>
      <xdr:nvGraphicFramePr>
        <xdr:cNvPr id="0" name="Chart 1"/>
        <xdr:cNvGraphicFramePr/>
      </xdr:nvGraphicFramePr>
      <xdr:xfrm>
        <a:off x="6391440" y="380880"/>
        <a:ext cx="503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17</xdr:row>
      <xdr:rowOff>160560</xdr:rowOff>
    </xdr:from>
    <xdr:to>
      <xdr:col>14</xdr:col>
      <xdr:colOff>147600</xdr:colOff>
      <xdr:row>32</xdr:row>
      <xdr:rowOff>2880</xdr:rowOff>
    </xdr:to>
    <xdr:graphicFrame>
      <xdr:nvGraphicFramePr>
        <xdr:cNvPr id="1" name="Chart 2"/>
        <xdr:cNvGraphicFramePr/>
      </xdr:nvGraphicFramePr>
      <xdr:xfrm>
        <a:off x="6391440" y="3429000"/>
        <a:ext cx="503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4"/>
    <col collapsed="false" customWidth="true" hidden="false" outlineLevel="0" max="4" min="3" style="0" width="12"/>
    <col collapsed="false" customWidth="true" hidden="false" outlineLevel="0" max="5" min="5" style="0" width="20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3" t="s">
        <v>2</v>
      </c>
      <c r="B4" s="4" t="n">
        <f aca="false">COUNTA('Student Data'!B2:B31)</f>
        <v>30</v>
      </c>
    </row>
    <row r="5" customFormat="false" ht="15" hidden="false" customHeight="false" outlineLevel="0" collapsed="false">
      <c r="A5" s="3" t="s">
        <v>3</v>
      </c>
      <c r="B5" s="4" t="n">
        <f aca="false">COUNTIF('Student Data'!K2:K31,"Pass")</f>
        <v>26</v>
      </c>
    </row>
    <row r="6" customFormat="false" ht="15" hidden="false" customHeight="false" outlineLevel="0" collapsed="false">
      <c r="A6" s="3" t="s">
        <v>4</v>
      </c>
      <c r="B6" s="4" t="n">
        <f aca="false">COUNTIF('Student Data'!K2:K31,"Fail")</f>
        <v>4</v>
      </c>
    </row>
    <row r="7" customFormat="false" ht="15" hidden="false" customHeight="false" outlineLevel="0" collapsed="false">
      <c r="A7" s="3" t="s">
        <v>5</v>
      </c>
      <c r="B7" s="5" t="n">
        <f aca="false">IFERROR(B5/B4,0)</f>
        <v>0.866666666666667</v>
      </c>
    </row>
    <row r="8" customFormat="false" ht="15" hidden="false" customHeight="false" outlineLevel="0" collapsed="false">
      <c r="A8" s="3" t="s">
        <v>6</v>
      </c>
      <c r="B8" s="5" t="n">
        <f aca="false">AVERAGE('Student Data'!I2:I31)</f>
        <v>0.672933333333333</v>
      </c>
    </row>
    <row r="9" customFormat="false" ht="15" hidden="false" customHeight="false" outlineLevel="0" collapsed="false">
      <c r="A9" s="3" t="s">
        <v>7</v>
      </c>
      <c r="B9" s="4" t="n">
        <f aca="false">MAX('Student Data'!H2:H31)</f>
        <v>404</v>
      </c>
    </row>
    <row r="10" customFormat="false" ht="15" hidden="false" customHeight="false" outlineLevel="0" collapsed="false">
      <c r="A10" s="3" t="s">
        <v>8</v>
      </c>
      <c r="B10" s="6" t="str">
        <f aca="false">INDEX('Student Data'!B2:B31,MATCH(MAX('Student Data'!H2:H31),'Student Data'!H2:H31,0))</f>
        <v>Tushar</v>
      </c>
    </row>
    <row r="13" customFormat="false" ht="15" hidden="false" customHeight="false" outlineLevel="0" collapsed="false">
      <c r="A13" s="2" t="s">
        <v>9</v>
      </c>
    </row>
    <row r="14" customFormat="false" ht="15" hidden="false" customHeight="false" outlineLevel="0" collapsed="false">
      <c r="A14" s="7" t="s">
        <v>10</v>
      </c>
      <c r="B14" s="7" t="s">
        <v>11</v>
      </c>
      <c r="C14" s="7" t="s">
        <v>12</v>
      </c>
      <c r="D14" s="7" t="s">
        <v>13</v>
      </c>
      <c r="E14" s="7" t="s">
        <v>14</v>
      </c>
    </row>
    <row r="15" customFormat="false" ht="15" hidden="false" customHeight="false" outlineLevel="0" collapsed="false">
      <c r="A15" s="8" t="s">
        <v>15</v>
      </c>
      <c r="B15" s="9" t="n">
        <f aca="false">AVERAGE('Student Data'!C2:C31)</f>
        <v>68.5333333333333</v>
      </c>
      <c r="C15" s="8" t="n">
        <f aca="false">MAX('Student Data'!C2:C31)</f>
        <v>100</v>
      </c>
      <c r="D15" s="8" t="n">
        <f aca="false">MIN('Student Data'!C2:C31)</f>
        <v>37</v>
      </c>
      <c r="E15" s="8" t="n">
        <f aca="false">COUNTIF('Student Data'!C2:C31,"&lt;35")</f>
        <v>0</v>
      </c>
    </row>
    <row r="16" customFormat="false" ht="15" hidden="false" customHeight="false" outlineLevel="0" collapsed="false">
      <c r="A16" s="8" t="s">
        <v>16</v>
      </c>
      <c r="B16" s="9" t="n">
        <f aca="false">AVERAGE('Student Data'!D2:D31)</f>
        <v>65.8333333333333</v>
      </c>
      <c r="C16" s="8" t="n">
        <f aca="false">MAX('Student Data'!D2:D31)</f>
        <v>100</v>
      </c>
      <c r="D16" s="8" t="n">
        <f aca="false">MIN('Student Data'!D2:D31)</f>
        <v>32</v>
      </c>
      <c r="E16" s="8" t="n">
        <f aca="false">COUNTIF('Student Data'!D2:D31,"&lt;35")</f>
        <v>1</v>
      </c>
    </row>
    <row r="17" customFormat="false" ht="15" hidden="false" customHeight="false" outlineLevel="0" collapsed="false">
      <c r="A17" s="8" t="s">
        <v>17</v>
      </c>
      <c r="B17" s="9" t="n">
        <f aca="false">AVERAGE('Student Data'!E2:E31)</f>
        <v>64.5</v>
      </c>
      <c r="C17" s="8" t="n">
        <f aca="false">MAX('Student Data'!E2:E31)</f>
        <v>100</v>
      </c>
      <c r="D17" s="8" t="n">
        <f aca="false">MIN('Student Data'!E2:E31)</f>
        <v>24</v>
      </c>
      <c r="E17" s="8" t="n">
        <f aca="false">COUNTIF('Student Data'!E2:E31,"&lt;35")</f>
        <v>2</v>
      </c>
    </row>
    <row r="18" customFormat="false" ht="15" hidden="false" customHeight="false" outlineLevel="0" collapsed="false">
      <c r="A18" s="8" t="s">
        <v>18</v>
      </c>
      <c r="B18" s="9" t="n">
        <f aca="false">AVERAGE('Student Data'!F2:F31)</f>
        <v>67.8333333333333</v>
      </c>
      <c r="C18" s="8" t="n">
        <f aca="false">MAX('Student Data'!F2:F31)</f>
        <v>100</v>
      </c>
      <c r="D18" s="8" t="n">
        <f aca="false">MIN('Student Data'!F2:F31)</f>
        <v>41</v>
      </c>
      <c r="E18" s="8" t="n">
        <f aca="false">COUNTIF('Student Data'!F2:F31,"&lt;35")</f>
        <v>0</v>
      </c>
    </row>
    <row r="19" customFormat="false" ht="15" hidden="false" customHeight="false" outlineLevel="0" collapsed="false">
      <c r="A19" s="8" t="s">
        <v>19</v>
      </c>
      <c r="B19" s="9" t="n">
        <f aca="false">AVERAGE('Student Data'!G2:G31)</f>
        <v>69.7666666666667</v>
      </c>
      <c r="C19" s="8" t="n">
        <f aca="false">MAX('Student Data'!G2:G31)</f>
        <v>100</v>
      </c>
      <c r="D19" s="8" t="n">
        <f aca="false">MIN('Student Data'!G2:G31)</f>
        <v>34</v>
      </c>
      <c r="E19" s="8" t="n">
        <f aca="false">COUNTIF('Student Data'!G2:G31,"&lt;35")</f>
        <v>1</v>
      </c>
    </row>
    <row r="22" customFormat="false" ht="15" hidden="false" customHeight="false" outlineLevel="0" collapsed="false">
      <c r="A22" s="2" t="s">
        <v>20</v>
      </c>
    </row>
    <row r="23" customFormat="false" ht="15" hidden="false" customHeight="false" outlineLevel="0" collapsed="false">
      <c r="A23" s="7" t="s">
        <v>21</v>
      </c>
      <c r="B23" s="7" t="s">
        <v>22</v>
      </c>
      <c r="C23" s="7" t="s">
        <v>23</v>
      </c>
    </row>
    <row r="24" customFormat="false" ht="15" hidden="false" customHeight="false" outlineLevel="0" collapsed="false">
      <c r="A24" s="8" t="s">
        <v>24</v>
      </c>
      <c r="B24" s="8" t="n">
        <f aca="false">COUNTIF('Student Data'!J2:J31,A24)</f>
        <v>4</v>
      </c>
      <c r="C24" s="5" t="n">
        <f aca="false">IFERROR(B24/$B$4,0)</f>
        <v>0.133333333333333</v>
      </c>
    </row>
    <row r="25" customFormat="false" ht="15" hidden="false" customHeight="false" outlineLevel="0" collapsed="false">
      <c r="A25" s="8" t="s">
        <v>25</v>
      </c>
      <c r="B25" s="8" t="n">
        <f aca="false">COUNTIF('Student Data'!J2:J31,A25)</f>
        <v>22</v>
      </c>
      <c r="C25" s="5" t="n">
        <f aca="false">IFERROR(B25/$B$4,0)</f>
        <v>0.733333333333333</v>
      </c>
    </row>
    <row r="26" customFormat="false" ht="15" hidden="false" customHeight="false" outlineLevel="0" collapsed="false">
      <c r="A26" s="8" t="s">
        <v>26</v>
      </c>
      <c r="B26" s="8" t="n">
        <f aca="false">COUNTIF('Student Data'!J2:J31,A26)</f>
        <v>4</v>
      </c>
      <c r="C26" s="5" t="n">
        <f aca="false">IFERROR(B26/$B$4,0)</f>
        <v>0.133333333333333</v>
      </c>
    </row>
    <row r="27" customFormat="false" ht="15" hidden="false" customHeight="false" outlineLevel="0" collapsed="false">
      <c r="A27" s="8" t="s">
        <v>27</v>
      </c>
      <c r="B27" s="8" t="n">
        <f aca="false">COUNTIF('Student Data'!J2:J31,A27)</f>
        <v>0</v>
      </c>
      <c r="C27" s="5" t="n">
        <f aca="false">IFERROR(B27/$B$4,0)</f>
        <v>0</v>
      </c>
    </row>
    <row r="28" customFormat="false" ht="15" hidden="false" customHeight="false" outlineLevel="0" collapsed="false">
      <c r="A28" s="8" t="s">
        <v>28</v>
      </c>
      <c r="B28" s="8" t="n">
        <f aca="false">COUNTIF('Student Data'!J2:J31,A28)</f>
        <v>0</v>
      </c>
      <c r="C28" s="5" t="n">
        <f aca="false">IFERROR(B28/$B$4,0)</f>
        <v>0</v>
      </c>
    </row>
    <row r="30" customFormat="false" ht="15" hidden="false" customHeight="false" outlineLevel="0" collapsed="false">
      <c r="A30" s="10" t="s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6"/>
    <col collapsed="false" customWidth="true" hidden="false" outlineLevel="0" max="3" min="3" style="0" width="13"/>
    <col collapsed="false" customWidth="true" hidden="false" outlineLevel="0" max="4" min="4" style="0" width="16"/>
    <col collapsed="false" customWidth="true" hidden="false" outlineLevel="0" max="5" min="5" style="0" width="10"/>
    <col collapsed="false" customWidth="true" hidden="false" outlineLevel="0" max="6" min="6" style="0" width="14"/>
    <col collapsed="false" customWidth="true" hidden="false" outlineLevel="0" max="7" min="7" style="0" width="17"/>
    <col collapsed="false" customWidth="true" hidden="false" outlineLevel="0" max="8" min="8" style="0" width="14"/>
    <col collapsed="false" customWidth="true" hidden="false" outlineLevel="0" max="9" min="9" style="0" width="12"/>
    <col collapsed="false" customWidth="true" hidden="false" outlineLevel="0" max="10" min="10" style="0" width="8"/>
    <col collapsed="false" customWidth="true" hidden="false" outlineLevel="0" max="11" min="11" style="0" width="9"/>
    <col collapsed="false" customWidth="true" hidden="false" outlineLevel="0" max="12" min="12" style="0" width="8"/>
  </cols>
  <sheetData>
    <row r="1" customFormat="false" ht="31.5" hidden="false" customHeight="true" outlineLevel="0" collapsed="false">
      <c r="A1" s="7" t="s">
        <v>30</v>
      </c>
      <c r="B1" s="7" t="s">
        <v>31</v>
      </c>
      <c r="C1" s="7" t="s">
        <v>15</v>
      </c>
      <c r="D1" s="7" t="s">
        <v>16</v>
      </c>
      <c r="E1" s="7" t="s">
        <v>17</v>
      </c>
      <c r="F1" s="7" t="s">
        <v>18</v>
      </c>
      <c r="G1" s="7" t="s">
        <v>19</v>
      </c>
      <c r="H1" s="7" t="s">
        <v>32</v>
      </c>
      <c r="I1" s="7" t="s">
        <v>33</v>
      </c>
      <c r="J1" s="7" t="s">
        <v>21</v>
      </c>
      <c r="K1" s="7" t="s">
        <v>34</v>
      </c>
      <c r="L1" s="7" t="s">
        <v>35</v>
      </c>
      <c r="N1" s="11" t="s">
        <v>36</v>
      </c>
    </row>
    <row r="2" customFormat="false" ht="15" hidden="false" customHeight="false" outlineLevel="0" collapsed="false">
      <c r="A2" s="12" t="n">
        <v>1</v>
      </c>
      <c r="B2" s="8" t="s">
        <v>37</v>
      </c>
      <c r="C2" s="8" t="n">
        <v>37</v>
      </c>
      <c r="D2" s="8" t="n">
        <v>72</v>
      </c>
      <c r="E2" s="8" t="n">
        <v>87</v>
      </c>
      <c r="F2" s="8" t="n">
        <v>65</v>
      </c>
      <c r="G2" s="8" t="n">
        <v>63</v>
      </c>
      <c r="H2" s="8" t="n">
        <f aca="false">SUM(C2:G2)</f>
        <v>324</v>
      </c>
      <c r="I2" s="13" t="n">
        <f aca="false">H2/500</f>
        <v>0.648</v>
      </c>
      <c r="J2" s="8" t="str">
        <f aca="false">IF(I2&gt;=0.75,"A",IF(I2&gt;=0.6,"B",IF(I2&gt;=0.45,"C",IF(I2&gt;=0.35,"D","F"))))</f>
        <v>B</v>
      </c>
      <c r="K2" s="8" t="str">
        <f aca="false">IF(COUNTIF(C2:G2,"&lt;35")&gt;0,"Fail","Pass")</f>
        <v>Pass</v>
      </c>
      <c r="L2" s="8" t="n">
        <f aca="false">RANK(H2,$H$2:$H$31,0)</f>
        <v>20</v>
      </c>
    </row>
    <row r="3" customFormat="false" ht="15" hidden="false" customHeight="false" outlineLevel="0" collapsed="false">
      <c r="A3" s="12" t="n">
        <v>2</v>
      </c>
      <c r="B3" s="8" t="s">
        <v>38</v>
      </c>
      <c r="C3" s="8" t="n">
        <v>72</v>
      </c>
      <c r="D3" s="8" t="n">
        <v>52</v>
      </c>
      <c r="E3" s="8" t="n">
        <v>68</v>
      </c>
      <c r="F3" s="8" t="n">
        <v>83</v>
      </c>
      <c r="G3" s="8" t="n">
        <v>75</v>
      </c>
      <c r="H3" s="8" t="n">
        <f aca="false">SUM(C3:G3)</f>
        <v>350</v>
      </c>
      <c r="I3" s="13" t="n">
        <f aca="false">H3/500</f>
        <v>0.7</v>
      </c>
      <c r="J3" s="8" t="str">
        <f aca="false">IF(I3&gt;=0.75,"A",IF(I3&gt;=0.6,"B",IF(I3&gt;=0.45,"C",IF(I3&gt;=0.35,"D","F"))))</f>
        <v>B</v>
      </c>
      <c r="K3" s="8" t="str">
        <f aca="false">IF(COUNTIF(C3:G3,"&lt;35")&gt;0,"Fail","Pass")</f>
        <v>Pass</v>
      </c>
      <c r="L3" s="8" t="n">
        <f aca="false">RANK(H3,$H$2:$H$31,0)</f>
        <v>11</v>
      </c>
    </row>
    <row r="4" customFormat="false" ht="15" hidden="false" customHeight="false" outlineLevel="0" collapsed="false">
      <c r="A4" s="12" t="n">
        <v>3</v>
      </c>
      <c r="B4" s="8" t="s">
        <v>39</v>
      </c>
      <c r="C4" s="8" t="n">
        <v>100</v>
      </c>
      <c r="D4" s="8" t="n">
        <v>64</v>
      </c>
      <c r="E4" s="8" t="n">
        <v>37</v>
      </c>
      <c r="F4" s="8" t="n">
        <v>90</v>
      </c>
      <c r="G4" s="8" t="n">
        <v>72</v>
      </c>
      <c r="H4" s="8" t="n">
        <f aca="false">SUM(C4:G4)</f>
        <v>363</v>
      </c>
      <c r="I4" s="13" t="n">
        <f aca="false">H4/500</f>
        <v>0.726</v>
      </c>
      <c r="J4" s="8" t="str">
        <f aca="false">IF(I4&gt;=0.75,"A",IF(I4&gt;=0.6,"B",IF(I4&gt;=0.45,"C",IF(I4&gt;=0.35,"D","F"))))</f>
        <v>B</v>
      </c>
      <c r="K4" s="8" t="str">
        <f aca="false">IF(COUNTIF(C4:G4,"&lt;35")&gt;0,"Fail","Pass")</f>
        <v>Pass</v>
      </c>
      <c r="L4" s="8" t="n">
        <f aca="false">RANK(H4,$H$2:$H$31,0)</f>
        <v>6</v>
      </c>
    </row>
    <row r="5" customFormat="false" ht="15" hidden="false" customHeight="false" outlineLevel="0" collapsed="false">
      <c r="A5" s="12" t="n">
        <v>4</v>
      </c>
      <c r="B5" s="8" t="s">
        <v>40</v>
      </c>
      <c r="C5" s="8" t="n">
        <v>63</v>
      </c>
      <c r="D5" s="8" t="n">
        <v>89</v>
      </c>
      <c r="E5" s="8" t="n">
        <v>81</v>
      </c>
      <c r="F5" s="8" t="n">
        <v>64</v>
      </c>
      <c r="G5" s="8" t="n">
        <v>82</v>
      </c>
      <c r="H5" s="8" t="n">
        <f aca="false">SUM(C5:G5)</f>
        <v>379</v>
      </c>
      <c r="I5" s="13" t="n">
        <f aca="false">H5/500</f>
        <v>0.758</v>
      </c>
      <c r="J5" s="8" t="str">
        <f aca="false">IF(I5&gt;=0.75,"A",IF(I5&gt;=0.6,"B",IF(I5&gt;=0.45,"C",IF(I5&gt;=0.35,"D","F"))))</f>
        <v>A</v>
      </c>
      <c r="K5" s="8" t="str">
        <f aca="false">IF(COUNTIF(C5:G5,"&lt;35")&gt;0,"Fail","Pass")</f>
        <v>Pass</v>
      </c>
      <c r="L5" s="8" t="n">
        <f aca="false">RANK(H5,$H$2:$H$31,0)</f>
        <v>4</v>
      </c>
    </row>
    <row r="6" customFormat="false" ht="15" hidden="false" customHeight="false" outlineLevel="0" collapsed="false">
      <c r="A6" s="12" t="n">
        <v>5</v>
      </c>
      <c r="B6" s="8" t="s">
        <v>41</v>
      </c>
      <c r="C6" s="8" t="n">
        <v>46</v>
      </c>
      <c r="D6" s="8" t="n">
        <v>51</v>
      </c>
      <c r="E6" s="8" t="n">
        <v>64</v>
      </c>
      <c r="F6" s="8" t="n">
        <v>74</v>
      </c>
      <c r="G6" s="8" t="n">
        <v>52</v>
      </c>
      <c r="H6" s="8" t="n">
        <f aca="false">SUM(C6:G6)</f>
        <v>287</v>
      </c>
      <c r="I6" s="13" t="n">
        <f aca="false">H6/500</f>
        <v>0.574</v>
      </c>
      <c r="J6" s="8" t="str">
        <f aca="false">IF(I6&gt;=0.75,"A",IF(I6&gt;=0.6,"B",IF(I6&gt;=0.45,"C",IF(I6&gt;=0.35,"D","F"))))</f>
        <v>C</v>
      </c>
      <c r="K6" s="8" t="str">
        <f aca="false">IF(COUNTIF(C6:G6,"&lt;35")&gt;0,"Fail","Pass")</f>
        <v>Pass</v>
      </c>
      <c r="L6" s="8" t="n">
        <f aca="false">RANK(H6,$H$2:$H$31,0)</f>
        <v>27</v>
      </c>
    </row>
    <row r="7" customFormat="false" ht="15" hidden="false" customHeight="false" outlineLevel="0" collapsed="false">
      <c r="A7" s="12" t="n">
        <v>6</v>
      </c>
      <c r="B7" s="8" t="s">
        <v>42</v>
      </c>
      <c r="C7" s="8" t="n">
        <v>80</v>
      </c>
      <c r="D7" s="8" t="n">
        <v>78</v>
      </c>
      <c r="E7" s="8" t="n">
        <v>54</v>
      </c>
      <c r="F7" s="8" t="n">
        <v>88</v>
      </c>
      <c r="G7" s="8" t="n">
        <v>100</v>
      </c>
      <c r="H7" s="8" t="n">
        <f aca="false">SUM(C7:G7)</f>
        <v>400</v>
      </c>
      <c r="I7" s="13" t="n">
        <f aca="false">H7/500</f>
        <v>0.8</v>
      </c>
      <c r="J7" s="8" t="str">
        <f aca="false">IF(I7&gt;=0.75,"A",IF(I7&gt;=0.6,"B",IF(I7&gt;=0.45,"C",IF(I7&gt;=0.35,"D","F"))))</f>
        <v>A</v>
      </c>
      <c r="K7" s="8" t="str">
        <f aca="false">IF(COUNTIF(C7:G7,"&lt;35")&gt;0,"Fail","Pass")</f>
        <v>Pass</v>
      </c>
      <c r="L7" s="8" t="n">
        <f aca="false">RANK(H7,$H$2:$H$31,0)</f>
        <v>2</v>
      </c>
    </row>
    <row r="8" customFormat="false" ht="15" hidden="false" customHeight="false" outlineLevel="0" collapsed="false">
      <c r="A8" s="12" t="n">
        <v>7</v>
      </c>
      <c r="B8" s="8" t="s">
        <v>43</v>
      </c>
      <c r="C8" s="8" t="n">
        <v>58</v>
      </c>
      <c r="D8" s="8" t="n">
        <v>50</v>
      </c>
      <c r="E8" s="8" t="n">
        <v>63</v>
      </c>
      <c r="F8" s="8" t="n">
        <v>48</v>
      </c>
      <c r="G8" s="8" t="n">
        <v>59</v>
      </c>
      <c r="H8" s="8" t="n">
        <f aca="false">SUM(C8:G8)</f>
        <v>278</v>
      </c>
      <c r="I8" s="13" t="n">
        <f aca="false">H8/500</f>
        <v>0.556</v>
      </c>
      <c r="J8" s="8" t="str">
        <f aca="false">IF(I8&gt;=0.75,"A",IF(I8&gt;=0.6,"B",IF(I8&gt;=0.45,"C",IF(I8&gt;=0.35,"D","F"))))</f>
        <v>C</v>
      </c>
      <c r="K8" s="8" t="str">
        <f aca="false">IF(COUNTIF(C8:G8,"&lt;35")&gt;0,"Fail","Pass")</f>
        <v>Pass</v>
      </c>
      <c r="L8" s="8" t="n">
        <f aca="false">RANK(H8,$H$2:$H$31,0)</f>
        <v>29</v>
      </c>
    </row>
    <row r="9" customFormat="false" ht="15" hidden="false" customHeight="false" outlineLevel="0" collapsed="false">
      <c r="A9" s="12" t="n">
        <v>8</v>
      </c>
      <c r="B9" s="8" t="s">
        <v>44</v>
      </c>
      <c r="C9" s="8" t="n">
        <v>72</v>
      </c>
      <c r="D9" s="8" t="n">
        <v>58</v>
      </c>
      <c r="E9" s="8" t="n">
        <v>79</v>
      </c>
      <c r="F9" s="8" t="n">
        <v>56</v>
      </c>
      <c r="G9" s="8" t="n">
        <v>80</v>
      </c>
      <c r="H9" s="8" t="n">
        <f aca="false">SUM(C9:G9)</f>
        <v>345</v>
      </c>
      <c r="I9" s="13" t="n">
        <f aca="false">H9/500</f>
        <v>0.69</v>
      </c>
      <c r="J9" s="8" t="str">
        <f aca="false">IF(I9&gt;=0.75,"A",IF(I9&gt;=0.6,"B",IF(I9&gt;=0.45,"C",IF(I9&gt;=0.35,"D","F"))))</f>
        <v>B</v>
      </c>
      <c r="K9" s="8" t="str">
        <f aca="false">IF(COUNTIF(C9:G9,"&lt;35")&gt;0,"Fail","Pass")</f>
        <v>Pass</v>
      </c>
      <c r="L9" s="8" t="n">
        <f aca="false">RANK(H9,$H$2:$H$31,0)</f>
        <v>13</v>
      </c>
    </row>
    <row r="10" customFormat="false" ht="15" hidden="false" customHeight="false" outlineLevel="0" collapsed="false">
      <c r="A10" s="12" t="n">
        <v>9</v>
      </c>
      <c r="B10" s="8" t="s">
        <v>45</v>
      </c>
      <c r="C10" s="8" t="n">
        <v>76</v>
      </c>
      <c r="D10" s="8" t="n">
        <v>61</v>
      </c>
      <c r="E10" s="8" t="n">
        <v>93</v>
      </c>
      <c r="F10" s="8" t="n">
        <v>68</v>
      </c>
      <c r="G10" s="8" t="n">
        <v>65</v>
      </c>
      <c r="H10" s="8" t="n">
        <f aca="false">SUM(C10:G10)</f>
        <v>363</v>
      </c>
      <c r="I10" s="13" t="n">
        <f aca="false">H10/500</f>
        <v>0.726</v>
      </c>
      <c r="J10" s="8" t="str">
        <f aca="false">IF(I10&gt;=0.75,"A",IF(I10&gt;=0.6,"B",IF(I10&gt;=0.45,"C",IF(I10&gt;=0.35,"D","F"))))</f>
        <v>B</v>
      </c>
      <c r="K10" s="8" t="str">
        <f aca="false">IF(COUNTIF(C10:G10,"&lt;35")&gt;0,"Fail","Pass")</f>
        <v>Pass</v>
      </c>
      <c r="L10" s="8" t="n">
        <f aca="false">RANK(H10,$H$2:$H$31,0)</f>
        <v>6</v>
      </c>
    </row>
    <row r="11" customFormat="false" ht="15" hidden="false" customHeight="false" outlineLevel="0" collapsed="false">
      <c r="A11" s="12" t="n">
        <v>10</v>
      </c>
      <c r="B11" s="8" t="s">
        <v>46</v>
      </c>
      <c r="C11" s="8" t="n">
        <v>72</v>
      </c>
      <c r="D11" s="8" t="n">
        <v>39</v>
      </c>
      <c r="E11" s="8" t="n">
        <v>87</v>
      </c>
      <c r="F11" s="8" t="n">
        <v>100</v>
      </c>
      <c r="G11" s="8" t="n">
        <v>83</v>
      </c>
      <c r="H11" s="8" t="n">
        <f aca="false">SUM(C11:G11)</f>
        <v>381</v>
      </c>
      <c r="I11" s="13" t="n">
        <f aca="false">H11/500</f>
        <v>0.762</v>
      </c>
      <c r="J11" s="8" t="str">
        <f aca="false">IF(I11&gt;=0.75,"A",IF(I11&gt;=0.6,"B",IF(I11&gt;=0.45,"C",IF(I11&gt;=0.35,"D","F"))))</f>
        <v>A</v>
      </c>
      <c r="K11" s="8" t="str">
        <f aca="false">IF(COUNTIF(C11:G11,"&lt;35")&gt;0,"Fail","Pass")</f>
        <v>Pass</v>
      </c>
      <c r="L11" s="8" t="n">
        <f aca="false">RANK(H11,$H$2:$H$31,0)</f>
        <v>3</v>
      </c>
    </row>
    <row r="12" customFormat="false" ht="15" hidden="false" customHeight="false" outlineLevel="0" collapsed="false">
      <c r="A12" s="12" t="n">
        <v>11</v>
      </c>
      <c r="B12" s="8" t="s">
        <v>47</v>
      </c>
      <c r="C12" s="8" t="n">
        <v>67</v>
      </c>
      <c r="D12" s="8" t="n">
        <v>32</v>
      </c>
      <c r="E12" s="8" t="n">
        <v>64</v>
      </c>
      <c r="F12" s="8" t="n">
        <v>71</v>
      </c>
      <c r="G12" s="8" t="n">
        <v>53</v>
      </c>
      <c r="H12" s="8" t="n">
        <f aca="false">SUM(C12:G12)</f>
        <v>287</v>
      </c>
      <c r="I12" s="13" t="n">
        <f aca="false">H12/500</f>
        <v>0.574</v>
      </c>
      <c r="J12" s="8" t="str">
        <f aca="false">IF(I12&gt;=0.75,"A",IF(I12&gt;=0.6,"B",IF(I12&gt;=0.45,"C",IF(I12&gt;=0.35,"D","F"))))</f>
        <v>C</v>
      </c>
      <c r="K12" s="8" t="str">
        <f aca="false">IF(COUNTIF(C12:G12,"&lt;35")&gt;0,"Fail","Pass")</f>
        <v>Fail</v>
      </c>
      <c r="L12" s="8" t="n">
        <f aca="false">RANK(H12,$H$2:$H$31,0)</f>
        <v>27</v>
      </c>
    </row>
    <row r="13" customFormat="false" ht="15" hidden="false" customHeight="false" outlineLevel="0" collapsed="false">
      <c r="A13" s="12" t="n">
        <v>12</v>
      </c>
      <c r="B13" s="8" t="s">
        <v>48</v>
      </c>
      <c r="C13" s="8" t="n">
        <v>45</v>
      </c>
      <c r="D13" s="8" t="n">
        <v>92</v>
      </c>
      <c r="E13" s="8" t="n">
        <v>100</v>
      </c>
      <c r="F13" s="8" t="n">
        <v>52</v>
      </c>
      <c r="G13" s="8" t="n">
        <v>71</v>
      </c>
      <c r="H13" s="8" t="n">
        <f aca="false">SUM(C13:G13)</f>
        <v>360</v>
      </c>
      <c r="I13" s="13" t="n">
        <f aca="false">H13/500</f>
        <v>0.72</v>
      </c>
      <c r="J13" s="8" t="str">
        <f aca="false">IF(I13&gt;=0.75,"A",IF(I13&gt;=0.6,"B",IF(I13&gt;=0.45,"C",IF(I13&gt;=0.35,"D","F"))))</f>
        <v>B</v>
      </c>
      <c r="K13" s="8" t="str">
        <f aca="false">IF(COUNTIF(C13:G13,"&lt;35")&gt;0,"Fail","Pass")</f>
        <v>Pass</v>
      </c>
      <c r="L13" s="8" t="n">
        <f aca="false">RANK(H13,$H$2:$H$31,0)</f>
        <v>9</v>
      </c>
    </row>
    <row r="14" customFormat="false" ht="15" hidden="false" customHeight="false" outlineLevel="0" collapsed="false">
      <c r="A14" s="12" t="n">
        <v>13</v>
      </c>
      <c r="B14" s="8" t="s">
        <v>49</v>
      </c>
      <c r="C14" s="8" t="n">
        <v>70</v>
      </c>
      <c r="D14" s="8" t="n">
        <v>36</v>
      </c>
      <c r="E14" s="8" t="n">
        <v>62</v>
      </c>
      <c r="F14" s="8" t="n">
        <v>67</v>
      </c>
      <c r="G14" s="8" t="n">
        <v>67</v>
      </c>
      <c r="H14" s="8" t="n">
        <f aca="false">SUM(C14:G14)</f>
        <v>302</v>
      </c>
      <c r="I14" s="13" t="n">
        <f aca="false">H14/500</f>
        <v>0.604</v>
      </c>
      <c r="J14" s="8" t="str">
        <f aca="false">IF(I14&gt;=0.75,"A",IF(I14&gt;=0.6,"B",IF(I14&gt;=0.45,"C",IF(I14&gt;=0.35,"D","F"))))</f>
        <v>B</v>
      </c>
      <c r="K14" s="8" t="str">
        <f aca="false">IF(COUNTIF(C14:G14,"&lt;35")&gt;0,"Fail","Pass")</f>
        <v>Pass</v>
      </c>
      <c r="L14" s="8" t="n">
        <f aca="false">RANK(H14,$H$2:$H$31,0)</f>
        <v>24</v>
      </c>
    </row>
    <row r="15" customFormat="false" ht="15" hidden="false" customHeight="false" outlineLevel="0" collapsed="false">
      <c r="A15" s="12" t="n">
        <v>14</v>
      </c>
      <c r="B15" s="8" t="s">
        <v>50</v>
      </c>
      <c r="C15" s="8" t="n">
        <v>48</v>
      </c>
      <c r="D15" s="8" t="n">
        <v>81</v>
      </c>
      <c r="E15" s="8" t="n">
        <v>50</v>
      </c>
      <c r="F15" s="8" t="n">
        <v>68</v>
      </c>
      <c r="G15" s="8" t="n">
        <v>72</v>
      </c>
      <c r="H15" s="8" t="n">
        <f aca="false">SUM(C15:G15)</f>
        <v>319</v>
      </c>
      <c r="I15" s="13" t="n">
        <f aca="false">H15/500</f>
        <v>0.638</v>
      </c>
      <c r="J15" s="8" t="str">
        <f aca="false">IF(I15&gt;=0.75,"A",IF(I15&gt;=0.6,"B",IF(I15&gt;=0.45,"C",IF(I15&gt;=0.35,"D","F"))))</f>
        <v>B</v>
      </c>
      <c r="K15" s="8" t="str">
        <f aca="false">IF(COUNTIF(C15:G15,"&lt;35")&gt;0,"Fail","Pass")</f>
        <v>Pass</v>
      </c>
      <c r="L15" s="8" t="n">
        <f aca="false">RANK(H15,$H$2:$H$31,0)</f>
        <v>21</v>
      </c>
    </row>
    <row r="16" customFormat="false" ht="15" hidden="false" customHeight="false" outlineLevel="0" collapsed="false">
      <c r="A16" s="12" t="n">
        <v>15</v>
      </c>
      <c r="B16" s="8" t="s">
        <v>51</v>
      </c>
      <c r="C16" s="8" t="n">
        <v>81</v>
      </c>
      <c r="D16" s="8" t="n">
        <v>58</v>
      </c>
      <c r="E16" s="8" t="n">
        <v>59</v>
      </c>
      <c r="F16" s="8" t="n">
        <v>59</v>
      </c>
      <c r="G16" s="8" t="n">
        <v>79</v>
      </c>
      <c r="H16" s="8" t="n">
        <f aca="false">SUM(C16:G16)</f>
        <v>336</v>
      </c>
      <c r="I16" s="13" t="n">
        <f aca="false">H16/500</f>
        <v>0.672</v>
      </c>
      <c r="J16" s="8" t="str">
        <f aca="false">IF(I16&gt;=0.75,"A",IF(I16&gt;=0.6,"B",IF(I16&gt;=0.45,"C",IF(I16&gt;=0.35,"D","F"))))</f>
        <v>B</v>
      </c>
      <c r="K16" s="8" t="str">
        <f aca="false">IF(COUNTIF(C16:G16,"&lt;35")&gt;0,"Fail","Pass")</f>
        <v>Pass</v>
      </c>
      <c r="L16" s="8" t="n">
        <f aca="false">RANK(H16,$H$2:$H$31,0)</f>
        <v>17</v>
      </c>
    </row>
    <row r="17" customFormat="false" ht="15" hidden="false" customHeight="false" outlineLevel="0" collapsed="false">
      <c r="A17" s="12" t="n">
        <v>16</v>
      </c>
      <c r="B17" s="8" t="s">
        <v>52</v>
      </c>
      <c r="C17" s="8" t="n">
        <v>51</v>
      </c>
      <c r="D17" s="8" t="n">
        <v>84</v>
      </c>
      <c r="E17" s="8" t="n">
        <v>54</v>
      </c>
      <c r="F17" s="8" t="n">
        <v>74</v>
      </c>
      <c r="G17" s="8" t="n">
        <v>81</v>
      </c>
      <c r="H17" s="8" t="n">
        <f aca="false">SUM(C17:G17)</f>
        <v>344</v>
      </c>
      <c r="I17" s="13" t="n">
        <f aca="false">H17/500</f>
        <v>0.688</v>
      </c>
      <c r="J17" s="8" t="str">
        <f aca="false">IF(I17&gt;=0.75,"A",IF(I17&gt;=0.6,"B",IF(I17&gt;=0.45,"C",IF(I17&gt;=0.35,"D","F"))))</f>
        <v>B</v>
      </c>
      <c r="K17" s="8" t="str">
        <f aca="false">IF(COUNTIF(C17:G17,"&lt;35")&gt;0,"Fail","Pass")</f>
        <v>Pass</v>
      </c>
      <c r="L17" s="8" t="n">
        <f aca="false">RANK(H17,$H$2:$H$31,0)</f>
        <v>15</v>
      </c>
    </row>
    <row r="18" customFormat="false" ht="15" hidden="false" customHeight="false" outlineLevel="0" collapsed="false">
      <c r="A18" s="12" t="n">
        <v>17</v>
      </c>
      <c r="B18" s="8" t="s">
        <v>53</v>
      </c>
      <c r="C18" s="8" t="n">
        <v>63</v>
      </c>
      <c r="D18" s="8" t="n">
        <v>78</v>
      </c>
      <c r="E18" s="8" t="n">
        <v>64</v>
      </c>
      <c r="F18" s="8" t="n">
        <v>41</v>
      </c>
      <c r="G18" s="8" t="n">
        <v>55</v>
      </c>
      <c r="H18" s="8" t="n">
        <f aca="false">SUM(C18:G18)</f>
        <v>301</v>
      </c>
      <c r="I18" s="13" t="n">
        <f aca="false">H18/500</f>
        <v>0.602</v>
      </c>
      <c r="J18" s="8" t="str">
        <f aca="false">IF(I18&gt;=0.75,"A",IF(I18&gt;=0.6,"B",IF(I18&gt;=0.45,"C",IF(I18&gt;=0.35,"D","F"))))</f>
        <v>B</v>
      </c>
      <c r="K18" s="8" t="str">
        <f aca="false">IF(COUNTIF(C18:G18,"&lt;35")&gt;0,"Fail","Pass")</f>
        <v>Pass</v>
      </c>
      <c r="L18" s="8" t="n">
        <f aca="false">RANK(H18,$H$2:$H$31,0)</f>
        <v>25</v>
      </c>
    </row>
    <row r="19" customFormat="false" ht="15" hidden="false" customHeight="false" outlineLevel="0" collapsed="false">
      <c r="A19" s="12" t="n">
        <v>18</v>
      </c>
      <c r="B19" s="8" t="s">
        <v>54</v>
      </c>
      <c r="C19" s="8" t="n">
        <v>72</v>
      </c>
      <c r="D19" s="8" t="n">
        <v>40</v>
      </c>
      <c r="E19" s="8" t="n">
        <v>68</v>
      </c>
      <c r="F19" s="8" t="n">
        <v>83</v>
      </c>
      <c r="G19" s="8" t="n">
        <v>82</v>
      </c>
      <c r="H19" s="8" t="n">
        <f aca="false">SUM(C19:G19)</f>
        <v>345</v>
      </c>
      <c r="I19" s="13" t="n">
        <f aca="false">H19/500</f>
        <v>0.69</v>
      </c>
      <c r="J19" s="8" t="str">
        <f aca="false">IF(I19&gt;=0.75,"A",IF(I19&gt;=0.6,"B",IF(I19&gt;=0.45,"C",IF(I19&gt;=0.35,"D","F"))))</f>
        <v>B</v>
      </c>
      <c r="K19" s="8" t="str">
        <f aca="false">IF(COUNTIF(C19:G19,"&lt;35")&gt;0,"Fail","Pass")</f>
        <v>Pass</v>
      </c>
      <c r="L19" s="8" t="n">
        <f aca="false">RANK(H19,$H$2:$H$31,0)</f>
        <v>13</v>
      </c>
    </row>
    <row r="20" customFormat="false" ht="15" hidden="false" customHeight="false" outlineLevel="0" collapsed="false">
      <c r="A20" s="12" t="n">
        <v>19</v>
      </c>
      <c r="B20" s="8" t="s">
        <v>55</v>
      </c>
      <c r="C20" s="8" t="n">
        <v>83</v>
      </c>
      <c r="D20" s="8" t="n">
        <v>75</v>
      </c>
      <c r="E20" s="8" t="n">
        <v>74</v>
      </c>
      <c r="F20" s="8" t="n">
        <v>46</v>
      </c>
      <c r="G20" s="8" t="n">
        <v>51</v>
      </c>
      <c r="H20" s="8" t="n">
        <f aca="false">SUM(C20:G20)</f>
        <v>329</v>
      </c>
      <c r="I20" s="13" t="n">
        <f aca="false">H20/500</f>
        <v>0.658</v>
      </c>
      <c r="J20" s="8" t="str">
        <f aca="false">IF(I20&gt;=0.75,"A",IF(I20&gt;=0.6,"B",IF(I20&gt;=0.45,"C",IF(I20&gt;=0.35,"D","F"))))</f>
        <v>B</v>
      </c>
      <c r="K20" s="8" t="str">
        <f aca="false">IF(COUNTIF(C20:G20,"&lt;35")&gt;0,"Fail","Pass")</f>
        <v>Pass</v>
      </c>
      <c r="L20" s="8" t="n">
        <f aca="false">RANK(H20,$H$2:$H$31,0)</f>
        <v>19</v>
      </c>
    </row>
    <row r="21" customFormat="false" ht="15" hidden="false" customHeight="false" outlineLevel="0" collapsed="false">
      <c r="A21" s="12" t="n">
        <v>20</v>
      </c>
      <c r="B21" s="8" t="s">
        <v>56</v>
      </c>
      <c r="C21" s="8" t="n">
        <v>70</v>
      </c>
      <c r="D21" s="8" t="n">
        <v>67</v>
      </c>
      <c r="E21" s="8" t="n">
        <v>48</v>
      </c>
      <c r="F21" s="8" t="n">
        <v>53</v>
      </c>
      <c r="G21" s="8" t="n">
        <v>62</v>
      </c>
      <c r="H21" s="8" t="n">
        <f aca="false">SUM(C21:G21)</f>
        <v>300</v>
      </c>
      <c r="I21" s="13" t="n">
        <f aca="false">H21/500</f>
        <v>0.6</v>
      </c>
      <c r="J21" s="8" t="str">
        <f aca="false">IF(I21&gt;=0.75,"A",IF(I21&gt;=0.6,"B",IF(I21&gt;=0.45,"C",IF(I21&gt;=0.35,"D","F"))))</f>
        <v>B</v>
      </c>
      <c r="K21" s="8" t="str">
        <f aca="false">IF(COUNTIF(C21:G21,"&lt;35")&gt;0,"Fail","Pass")</f>
        <v>Pass</v>
      </c>
      <c r="L21" s="8" t="n">
        <f aca="false">RANK(H21,$H$2:$H$31,0)</f>
        <v>26</v>
      </c>
    </row>
    <row r="22" customFormat="false" ht="15" hidden="false" customHeight="false" outlineLevel="0" collapsed="false">
      <c r="A22" s="12" t="n">
        <v>21</v>
      </c>
      <c r="B22" s="8" t="s">
        <v>57</v>
      </c>
      <c r="C22" s="8" t="n">
        <v>75</v>
      </c>
      <c r="D22" s="8" t="n">
        <v>85</v>
      </c>
      <c r="E22" s="8" t="n">
        <v>59</v>
      </c>
      <c r="F22" s="8" t="n">
        <v>80</v>
      </c>
      <c r="G22" s="8" t="n">
        <v>70</v>
      </c>
      <c r="H22" s="8" t="n">
        <f aca="false">SUM(C22:G22)</f>
        <v>369</v>
      </c>
      <c r="I22" s="13" t="n">
        <f aca="false">H22/500</f>
        <v>0.738</v>
      </c>
      <c r="J22" s="8" t="str">
        <f aca="false">IF(I22&gt;=0.75,"A",IF(I22&gt;=0.6,"B",IF(I22&gt;=0.45,"C",IF(I22&gt;=0.35,"D","F"))))</f>
        <v>B</v>
      </c>
      <c r="K22" s="8" t="str">
        <f aca="false">IF(COUNTIF(C22:G22,"&lt;35")&gt;0,"Fail","Pass")</f>
        <v>Pass</v>
      </c>
      <c r="L22" s="8" t="n">
        <f aca="false">RANK(H22,$H$2:$H$31,0)</f>
        <v>5</v>
      </c>
    </row>
    <row r="23" customFormat="false" ht="15" hidden="false" customHeight="false" outlineLevel="0" collapsed="false">
      <c r="A23" s="12" t="n">
        <v>22</v>
      </c>
      <c r="B23" s="8" t="s">
        <v>58</v>
      </c>
      <c r="C23" s="8" t="n">
        <v>55</v>
      </c>
      <c r="D23" s="8" t="n">
        <v>100</v>
      </c>
      <c r="E23" s="8" t="n">
        <v>70</v>
      </c>
      <c r="F23" s="8" t="n">
        <v>45</v>
      </c>
      <c r="G23" s="8" t="n">
        <v>84</v>
      </c>
      <c r="H23" s="8" t="n">
        <f aca="false">SUM(C23:G23)</f>
        <v>354</v>
      </c>
      <c r="I23" s="13" t="n">
        <f aca="false">H23/500</f>
        <v>0.708</v>
      </c>
      <c r="J23" s="8" t="str">
        <f aca="false">IF(I23&gt;=0.75,"A",IF(I23&gt;=0.6,"B",IF(I23&gt;=0.45,"C",IF(I23&gt;=0.35,"D","F"))))</f>
        <v>B</v>
      </c>
      <c r="K23" s="8" t="str">
        <f aca="false">IF(COUNTIF(C23:G23,"&lt;35")&gt;0,"Fail","Pass")</f>
        <v>Pass</v>
      </c>
      <c r="L23" s="8" t="n">
        <f aca="false">RANK(H23,$H$2:$H$31,0)</f>
        <v>10</v>
      </c>
    </row>
    <row r="24" customFormat="false" ht="15" hidden="false" customHeight="false" outlineLevel="0" collapsed="false">
      <c r="A24" s="12" t="n">
        <v>23</v>
      </c>
      <c r="B24" s="8" t="s">
        <v>59</v>
      </c>
      <c r="C24" s="8" t="n">
        <v>69</v>
      </c>
      <c r="D24" s="8" t="n">
        <v>79</v>
      </c>
      <c r="E24" s="8" t="n">
        <v>66</v>
      </c>
      <c r="F24" s="8" t="n">
        <v>46</v>
      </c>
      <c r="G24" s="8" t="n">
        <v>51</v>
      </c>
      <c r="H24" s="8" t="n">
        <f aca="false">SUM(C24:G24)</f>
        <v>311</v>
      </c>
      <c r="I24" s="13" t="n">
        <f aca="false">H24/500</f>
        <v>0.622</v>
      </c>
      <c r="J24" s="8" t="str">
        <f aca="false">IF(I24&gt;=0.75,"A",IF(I24&gt;=0.6,"B",IF(I24&gt;=0.45,"C",IF(I24&gt;=0.35,"D","F"))))</f>
        <v>B</v>
      </c>
      <c r="K24" s="8" t="str">
        <f aca="false">IF(COUNTIF(C24:G24,"&lt;35")&gt;0,"Fail","Pass")</f>
        <v>Pass</v>
      </c>
      <c r="L24" s="8" t="n">
        <f aca="false">RANK(H24,$H$2:$H$31,0)</f>
        <v>22</v>
      </c>
    </row>
    <row r="25" customFormat="false" ht="15" hidden="false" customHeight="false" outlineLevel="0" collapsed="false">
      <c r="A25" s="12" t="n">
        <v>24</v>
      </c>
      <c r="B25" s="8" t="s">
        <v>60</v>
      </c>
      <c r="C25" s="8" t="n">
        <v>58</v>
      </c>
      <c r="D25" s="8" t="n">
        <v>57</v>
      </c>
      <c r="E25" s="8" t="n">
        <v>46</v>
      </c>
      <c r="F25" s="8" t="n">
        <v>74</v>
      </c>
      <c r="G25" s="8" t="n">
        <v>34</v>
      </c>
      <c r="H25" s="8" t="n">
        <f aca="false">SUM(C25:G25)</f>
        <v>269</v>
      </c>
      <c r="I25" s="13" t="n">
        <f aca="false">H25/500</f>
        <v>0.538</v>
      </c>
      <c r="J25" s="8" t="str">
        <f aca="false">IF(I25&gt;=0.75,"A",IF(I25&gt;=0.6,"B",IF(I25&gt;=0.45,"C",IF(I25&gt;=0.35,"D","F"))))</f>
        <v>C</v>
      </c>
      <c r="K25" s="8" t="str">
        <f aca="false">IF(COUNTIF(C25:G25,"&lt;35")&gt;0,"Fail","Pass")</f>
        <v>Fail</v>
      </c>
      <c r="L25" s="8" t="n">
        <f aca="false">RANK(H25,$H$2:$H$31,0)</f>
        <v>30</v>
      </c>
    </row>
    <row r="26" customFormat="false" ht="15" hidden="false" customHeight="false" outlineLevel="0" collapsed="false">
      <c r="A26" s="12" t="n">
        <v>25</v>
      </c>
      <c r="B26" s="8" t="s">
        <v>61</v>
      </c>
      <c r="C26" s="8" t="n">
        <v>96</v>
      </c>
      <c r="D26" s="8" t="n">
        <v>85</v>
      </c>
      <c r="E26" s="8" t="n">
        <v>47</v>
      </c>
      <c r="F26" s="8" t="n">
        <v>82</v>
      </c>
      <c r="G26" s="8" t="n">
        <v>52</v>
      </c>
      <c r="H26" s="8" t="n">
        <f aca="false">SUM(C26:G26)</f>
        <v>362</v>
      </c>
      <c r="I26" s="13" t="n">
        <f aca="false">H26/500</f>
        <v>0.724</v>
      </c>
      <c r="J26" s="8" t="str">
        <f aca="false">IF(I26&gt;=0.75,"A",IF(I26&gt;=0.6,"B",IF(I26&gt;=0.45,"C",IF(I26&gt;=0.35,"D","F"))))</f>
        <v>B</v>
      </c>
      <c r="K26" s="8" t="str">
        <f aca="false">IF(COUNTIF(C26:G26,"&lt;35")&gt;0,"Fail","Pass")</f>
        <v>Pass</v>
      </c>
      <c r="L26" s="8" t="n">
        <f aca="false">RANK(H26,$H$2:$H$31,0)</f>
        <v>8</v>
      </c>
    </row>
    <row r="27" customFormat="false" ht="15" hidden="false" customHeight="false" outlineLevel="0" collapsed="false">
      <c r="A27" s="12" t="n">
        <v>26</v>
      </c>
      <c r="B27" s="8" t="s">
        <v>62</v>
      </c>
      <c r="C27" s="8" t="n">
        <v>72</v>
      </c>
      <c r="D27" s="8" t="n">
        <v>83</v>
      </c>
      <c r="E27" s="8" t="n">
        <v>24</v>
      </c>
      <c r="F27" s="8" t="n">
        <v>78</v>
      </c>
      <c r="G27" s="8" t="n">
        <v>78</v>
      </c>
      <c r="H27" s="8" t="n">
        <f aca="false">SUM(C27:G27)</f>
        <v>335</v>
      </c>
      <c r="I27" s="13" t="n">
        <f aca="false">H27/500</f>
        <v>0.67</v>
      </c>
      <c r="J27" s="8" t="str">
        <f aca="false">IF(I27&gt;=0.75,"A",IF(I27&gt;=0.6,"B",IF(I27&gt;=0.45,"C",IF(I27&gt;=0.35,"D","F"))))</f>
        <v>B</v>
      </c>
      <c r="K27" s="8" t="str">
        <f aca="false">IF(COUNTIF(C27:G27,"&lt;35")&gt;0,"Fail","Pass")</f>
        <v>Fail</v>
      </c>
      <c r="L27" s="8" t="n">
        <f aca="false">RANK(H27,$H$2:$H$31,0)</f>
        <v>18</v>
      </c>
    </row>
    <row r="28" customFormat="false" ht="15" hidden="false" customHeight="false" outlineLevel="0" collapsed="false">
      <c r="A28" s="12" t="n">
        <v>27</v>
      </c>
      <c r="B28" s="8" t="s">
        <v>63</v>
      </c>
      <c r="C28" s="8" t="n">
        <v>68</v>
      </c>
      <c r="D28" s="8" t="n">
        <v>35</v>
      </c>
      <c r="E28" s="8" t="n">
        <v>85</v>
      </c>
      <c r="F28" s="8" t="n">
        <v>62</v>
      </c>
      <c r="G28" s="8" t="n">
        <v>100</v>
      </c>
      <c r="H28" s="8" t="n">
        <f aca="false">SUM(C28:G28)</f>
        <v>350</v>
      </c>
      <c r="I28" s="13" t="n">
        <f aca="false">H28/500</f>
        <v>0.7</v>
      </c>
      <c r="J28" s="8" t="str">
        <f aca="false">IF(I28&gt;=0.75,"A",IF(I28&gt;=0.6,"B",IF(I28&gt;=0.45,"C",IF(I28&gt;=0.35,"D","F"))))</f>
        <v>B</v>
      </c>
      <c r="K28" s="8" t="str">
        <f aca="false">IF(COUNTIF(C28:G28,"&lt;35")&gt;0,"Fail","Pass")</f>
        <v>Pass</v>
      </c>
      <c r="L28" s="8" t="n">
        <f aca="false">RANK(H28,$H$2:$H$31,0)</f>
        <v>11</v>
      </c>
    </row>
    <row r="29" customFormat="false" ht="15" hidden="false" customHeight="false" outlineLevel="0" collapsed="false">
      <c r="A29" s="12" t="n">
        <v>28</v>
      </c>
      <c r="B29" s="8" t="s">
        <v>64</v>
      </c>
      <c r="C29" s="8" t="n">
        <v>83</v>
      </c>
      <c r="D29" s="8" t="n">
        <v>84</v>
      </c>
      <c r="E29" s="8" t="n">
        <v>56</v>
      </c>
      <c r="F29" s="8" t="n">
        <v>47</v>
      </c>
      <c r="G29" s="8" t="n">
        <v>69</v>
      </c>
      <c r="H29" s="8" t="n">
        <f aca="false">SUM(C29:G29)</f>
        <v>339</v>
      </c>
      <c r="I29" s="13" t="n">
        <f aca="false">H29/500</f>
        <v>0.678</v>
      </c>
      <c r="J29" s="8" t="str">
        <f aca="false">IF(I29&gt;=0.75,"A",IF(I29&gt;=0.6,"B",IF(I29&gt;=0.45,"C",IF(I29&gt;=0.35,"D","F"))))</f>
        <v>B</v>
      </c>
      <c r="K29" s="8" t="str">
        <f aca="false">IF(COUNTIF(C29:G29,"&lt;35")&gt;0,"Fail","Pass")</f>
        <v>Pass</v>
      </c>
      <c r="L29" s="8" t="n">
        <f aca="false">RANK(H29,$H$2:$H$31,0)</f>
        <v>16</v>
      </c>
    </row>
    <row r="30" customFormat="false" ht="15" hidden="false" customHeight="false" outlineLevel="0" collapsed="false">
      <c r="A30" s="12" t="n">
        <v>29</v>
      </c>
      <c r="B30" s="8" t="s">
        <v>65</v>
      </c>
      <c r="C30" s="8" t="n">
        <v>68</v>
      </c>
      <c r="D30" s="8" t="n">
        <v>54</v>
      </c>
      <c r="E30" s="8" t="n">
        <v>92</v>
      </c>
      <c r="F30" s="8" t="n">
        <v>100</v>
      </c>
      <c r="G30" s="8" t="n">
        <v>90</v>
      </c>
      <c r="H30" s="8" t="n">
        <f aca="false">SUM(C30:G30)</f>
        <v>404</v>
      </c>
      <c r="I30" s="13" t="n">
        <f aca="false">H30/500</f>
        <v>0.808</v>
      </c>
      <c r="J30" s="8" t="str">
        <f aca="false">IF(I30&gt;=0.75,"A",IF(I30&gt;=0.6,"B",IF(I30&gt;=0.45,"C",IF(I30&gt;=0.35,"D","F"))))</f>
        <v>A</v>
      </c>
      <c r="K30" s="8" t="str">
        <f aca="false">IF(COUNTIF(C30:G30,"&lt;35")&gt;0,"Fail","Pass")</f>
        <v>Pass</v>
      </c>
      <c r="L30" s="8" t="n">
        <f aca="false">RANK(H30,$H$2:$H$31,0)</f>
        <v>1</v>
      </c>
    </row>
    <row r="31" customFormat="false" ht="15" hidden="false" customHeight="false" outlineLevel="0" collapsed="false">
      <c r="A31" s="12" t="n">
        <v>30</v>
      </c>
      <c r="B31" s="8" t="s">
        <v>66</v>
      </c>
      <c r="C31" s="8" t="n">
        <v>86</v>
      </c>
      <c r="D31" s="8" t="n">
        <v>56</v>
      </c>
      <c r="E31" s="8" t="n">
        <v>34</v>
      </c>
      <c r="F31" s="8" t="n">
        <v>71</v>
      </c>
      <c r="G31" s="8" t="n">
        <v>61</v>
      </c>
      <c r="H31" s="8" t="n">
        <f aca="false">SUM(C31:G31)</f>
        <v>308</v>
      </c>
      <c r="I31" s="13" t="n">
        <f aca="false">H31/500</f>
        <v>0.616</v>
      </c>
      <c r="J31" s="8" t="str">
        <f aca="false">IF(I31&gt;=0.75,"A",IF(I31&gt;=0.6,"B",IF(I31&gt;=0.45,"C",IF(I31&gt;=0.35,"D","F"))))</f>
        <v>B</v>
      </c>
      <c r="K31" s="8" t="str">
        <f aca="false">IF(COUNTIF(C31:G31,"&lt;35")&gt;0,"Fail","Pass")</f>
        <v>Fail</v>
      </c>
      <c r="L31" s="8" t="n">
        <f aca="false">RANK(H31,$H$2:$H$31,0)</f>
        <v>23</v>
      </c>
    </row>
  </sheetData>
  <autoFilter ref="A1:L31"/>
  <conditionalFormatting sqref="C2:G31">
    <cfRule type="cellIs" priority="2" operator="lessThan" aboveAverage="0" equalAverage="0" bottom="0" percent="0" rank="0" text="" dxfId="6">
      <formula>35</formula>
    </cfRule>
  </conditionalFormatting>
  <conditionalFormatting sqref="K2:K31">
    <cfRule type="cellIs" priority="3" operator="equal" aboveAverage="0" equalAverage="0" bottom="0" percent="0" rank="0" text="" dxfId="7">
      <formula>"Fail"</formula>
    </cfRule>
    <cfRule type="cellIs" priority="4" operator="equal" aboveAverage="0" equalAverage="0" bottom="0" percent="0" rank="0" text="" dxfId="8">
      <formula>"Pass"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2026-10-09T13:21:51Z</dcterms:created>
  <dc:creator>openpyxl</dc:creator>
  <dc:description/>
  <dc:language>en-US</dc:language>
  <cp:lastModifiedBy/>
  <dcterms:modified xsi:type="dcterms:W3CDTF">2026-10-09T13:21:56Z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